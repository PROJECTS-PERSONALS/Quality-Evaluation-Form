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Formato De Evaluación\Calidad MDA\Helps\"/>
    </mc:Choice>
  </mc:AlternateContent>
  <xr:revisionPtr revIDLastSave="0" documentId="13_ncr:1_{DB08CEFA-6533-4144-92AA-9828BB84C4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valuación de Calid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1" l="1"/>
  <c r="G11" i="1"/>
  <c r="G12" i="1"/>
  <c r="G13" i="1"/>
  <c r="G14" i="1"/>
  <c r="G15" i="1"/>
  <c r="G16" i="1"/>
  <c r="G17" i="1"/>
  <c r="G18" i="1"/>
  <c r="G19" i="1"/>
  <c r="G20" i="1"/>
  <c r="G21" i="1"/>
  <c r="G22" i="1"/>
  <c r="E23" i="1"/>
  <c r="F23" i="1"/>
  <c r="G23" i="1" l="1"/>
</calcChain>
</file>

<file path=xl/sharedStrings.xml><?xml version="1.0" encoding="utf-8"?>
<sst xmlns="http://schemas.openxmlformats.org/spreadsheetml/2006/main" count="57" uniqueCount="46">
  <si>
    <t>ID Caso Evaluado:</t>
  </si>
  <si>
    <t>Fecha Evaluación:</t>
  </si>
  <si>
    <t>Evaluador:</t>
  </si>
  <si>
    <t>Analista del Caso:</t>
  </si>
  <si>
    <t>Organización:</t>
  </si>
  <si>
    <t>Hospital General de Medellín</t>
  </si>
  <si>
    <t>Estado del Caso:</t>
  </si>
  <si>
    <t>Sección / Ítem de Información del Caso</t>
  </si>
  <si>
    <t>Criterio de Calidad a Evaluar</t>
  </si>
  <si>
    <t>Peso (%)</t>
  </si>
  <si>
    <t>Calificación (0 o 1)</t>
  </si>
  <si>
    <t>Puntaje Logrado</t>
  </si>
  <si>
    <t>Observaciones / Hallazgos Encontrados</t>
  </si>
  <si>
    <t>1. Información General - Organización</t>
  </si>
  <si>
    <t>Verifica si el caso está asociado correctamente a la entidad cliente (ej. Hospital General de Medellín).</t>
  </si>
  <si>
    <t>Cumple correctamente con el estándar.</t>
  </si>
  <si>
    <t>1. Información General - Reportado por</t>
  </si>
  <si>
    <t>Registra correctamente el rol o nombre de quien reporta (ej. Medicos Hospitalizacion) para trazabilidad.</t>
  </si>
  <si>
    <t>1. Información General - Estatus / Origen</t>
  </si>
  <si>
    <t>El estado refleja el ciclo de vida real y el canal de entrada (Teléfono) está bien tipificado.</t>
  </si>
  <si>
    <t>1. Información General - Asunto / Descripción</t>
  </si>
  <si>
    <t>El asunto es claro y la descripción detalla la necesidad exacta (traslado de PC), nombres, roles y activos involucrados.</t>
  </si>
  <si>
    <t>2. Clasificación y Asignación - Tipo de Reporte / Servicio</t>
  </si>
  <si>
    <t>El caso está bien catalogado (Requerimiento de Servicio) y alineado al catálogo (N1 Estación de Trabajo).</t>
  </si>
  <si>
    <t>2. Clasificación y Asignación - Impacto / Urgencia / Prioridad</t>
  </si>
  <si>
    <t>La matriz de prioridad guarda coherencia con el impacto declarado (Una Persona / Baja -&gt; Prioridad Baja).</t>
  </si>
  <si>
    <t>2. Clasificación y Asignación - Subcategoría / Escalamiento</t>
  </si>
  <si>
    <t>Tipificación técnica precisa (REQ_Instalacion) y banderas de escalamiento correctamente diligenciadas.</t>
  </si>
  <si>
    <t>2. Clasificación y Asignación - Grupo / Analista</t>
  </si>
  <si>
    <t>Asignación correcta al grupo resolutor (Nivel 1 De Ayuda) y especialista responsable.</t>
  </si>
  <si>
    <t>3. Gestión de Tiempos y SLA - Fechas del Ciclo de Vida</t>
  </si>
  <si>
    <t>Consistencia cronológica estricta entre Inicio, Asignación, Última Actualización y Solución.</t>
  </si>
  <si>
    <t>3. Gestión de Tiempos y SLA - Métricas de SLA</t>
  </si>
  <si>
    <t>Los campos de cumplimiento y exceso de SLA (Asignación y Solución) están calculados y guardan coherencia.</t>
  </si>
  <si>
    <t>4. Solución y Cierre - Código de Solución</t>
  </si>
  <si>
    <t>El cierre utiliza la categoría correcta según el catálogo de soluciones (Asistencia).</t>
  </si>
  <si>
    <t>4. Solución y Cierre - Detalle de la Solución</t>
  </si>
  <si>
    <t>Describe de forma clara, técnica y completa las acciones realizadas, pruebas de funcionamiento y estado de entrega.</t>
  </si>
  <si>
    <t>TOTAL CALIDAD DE LA INFORMACIÓN</t>
  </si>
  <si>
    <t>R-000000</t>
  </si>
  <si>
    <t>[Seleccione Un Analista]</t>
  </si>
  <si>
    <t>[Seleccione Un Estado]</t>
  </si>
  <si>
    <t>Hector Samir Perez Perez</t>
  </si>
  <si>
    <t>FORMATO DE EVALUACIÓN DE LA CALIDAD DE LA INFORMACIÓN</t>
  </si>
  <si>
    <r>
      <t>24</t>
    </r>
    <r>
      <rPr>
        <b/>
        <sz val="24"/>
        <color theme="0" tint="-0.499984740745262"/>
        <rFont val="Times New Roman"/>
        <family val="1"/>
      </rPr>
      <t>h</t>
    </r>
  </si>
  <si>
    <r>
      <t xml:space="preserve">Mesa de Ayuda de Tecnología - Basado en Requerimiento </t>
    </r>
    <r>
      <rPr>
        <b/>
        <sz val="12"/>
        <color rgb="FFFF0000"/>
        <rFont val="Times New Roman"/>
        <family val="1"/>
      </rPr>
      <t>R-000000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</si>
</sst>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114B5F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2"/>
      <color theme="0"/>
      <name val="Times New Roman"/>
      <family val="1"/>
    </font>
    <font>
      <b/>
      <sz val="24"/>
      <color rgb="FF0070C0"/>
      <name val="Times New Roman"/>
      <family val="1"/>
    </font>
    <font>
      <b/>
      <sz val="24"/>
      <color theme="0" tint="-0.499984740745262"/>
      <name val="Times New Roman"/>
      <family val="1"/>
    </font>
    <font>
      <b/>
      <sz val="12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7FAFC"/>
        <bgColor rgb="FFF7FAFC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rgb="FF114B5F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3" borderId="0" applyNumberFormat="0" applyBorder="0" applyAlignment="0" applyProtection="0"/>
    <xf numFmtId="0" fontId="2" fillId="4" borderId="1" applyNumberFormat="0" applyAlignment="0" applyProtection="0"/>
    <xf numFmtId="0" fontId="3" fillId="5" borderId="2" applyNumberFormat="0" applyAlignment="0" applyProtection="0"/>
  </cellStyleXfs>
  <cellXfs count="31">
    <xf numFmtId="0" fontId="0" fillId="0" borderId="0" xfId="0"/>
    <xf numFmtId="0" fontId="5" fillId="0" borderId="0" xfId="0" applyFont="1"/>
    <xf numFmtId="9" fontId="3" fillId="5" borderId="3" xfId="3" applyNumberFormat="1" applyBorder="1" applyAlignment="1">
      <alignment horizontal="center" vertical="center"/>
    </xf>
    <xf numFmtId="9" fontId="1" fillId="3" borderId="3" xfId="1" applyNumberFormat="1" applyBorder="1" applyAlignment="1">
      <alignment horizontal="center" vertical="center"/>
    </xf>
    <xf numFmtId="9" fontId="2" fillId="4" borderId="3" xfId="2" applyNumberFormat="1" applyBorder="1" applyAlignment="1">
      <alignment horizontal="center" vertical="center"/>
    </xf>
    <xf numFmtId="0" fontId="2" fillId="4" borderId="3" xfId="2" applyBorder="1" applyAlignment="1">
      <alignment horizontal="center" vertical="center"/>
    </xf>
    <xf numFmtId="0" fontId="3" fillId="5" borderId="3" xfId="3" applyBorder="1" applyAlignment="1">
      <alignment horizontal="center" vertical="center"/>
    </xf>
    <xf numFmtId="0" fontId="5" fillId="0" borderId="0" xfId="0" applyFont="1" applyBorder="1"/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6" borderId="0" xfId="0" applyFont="1" applyFill="1" applyBorder="1" applyAlignment="1">
      <alignment horizontal="center" vertical="center"/>
    </xf>
    <xf numFmtId="0" fontId="2" fillId="4" borderId="3" xfId="2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center" vertical="center"/>
    </xf>
  </cellXfs>
  <cellStyles count="4">
    <cellStyle name="Bueno" xfId="1" builtinId="26"/>
    <cellStyle name="Celda de comprobación" xfId="3" builtinId="23"/>
    <cellStyle name="Entrada" xfId="2" builtinId="2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zoomScale="70" zoomScaleNormal="70" workbookViewId="0">
      <selection activeCell="H8" sqref="H8:I8"/>
    </sheetView>
  </sheetViews>
  <sheetFormatPr baseColWidth="10" defaultColWidth="11.44140625" defaultRowHeight="15.6" x14ac:dyDescent="0.3"/>
  <cols>
    <col min="1" max="2" width="30.6640625" style="1" customWidth="1"/>
    <col min="3" max="4" width="55.6640625" style="1" customWidth="1"/>
    <col min="5" max="5" width="15.6640625" style="1" customWidth="1"/>
    <col min="6" max="8" width="25.6640625" style="1" customWidth="1"/>
    <col min="9" max="16384" width="11.44140625" style="1"/>
  </cols>
  <sheetData>
    <row r="1" spans="1:10" x14ac:dyDescent="0.3">
      <c r="A1" s="10"/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3">
      <c r="A2" s="15" t="s">
        <v>44</v>
      </c>
      <c r="B2" s="15"/>
      <c r="C2" s="13"/>
      <c r="D2" s="17" t="s">
        <v>43</v>
      </c>
      <c r="E2" s="17"/>
      <c r="F2" s="17"/>
      <c r="G2" s="11"/>
      <c r="H2" s="13"/>
      <c r="I2" s="10"/>
      <c r="J2" s="10"/>
    </row>
    <row r="3" spans="1:10" x14ac:dyDescent="0.3">
      <c r="A3" s="15"/>
      <c r="B3" s="15"/>
      <c r="C3" s="13"/>
      <c r="D3" s="10"/>
      <c r="E3" s="10"/>
      <c r="F3" s="10"/>
      <c r="G3" s="10"/>
      <c r="H3" s="10"/>
      <c r="I3" s="10"/>
      <c r="J3" s="10"/>
    </row>
    <row r="4" spans="1:10" x14ac:dyDescent="0.3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0" x14ac:dyDescent="0.3">
      <c r="A5" s="18" t="s">
        <v>45</v>
      </c>
      <c r="B5" s="18"/>
      <c r="C5" s="18"/>
      <c r="D5" s="18"/>
      <c r="E5" s="18"/>
      <c r="F5" s="18"/>
      <c r="G5" s="18"/>
      <c r="H5" s="18"/>
      <c r="I5" s="18"/>
      <c r="J5" s="18"/>
    </row>
    <row r="6" spans="1:10" x14ac:dyDescent="0.3">
      <c r="A6" s="19" t="s">
        <v>0</v>
      </c>
      <c r="B6" s="19"/>
      <c r="C6" s="19"/>
      <c r="D6" s="21" t="s">
        <v>39</v>
      </c>
      <c r="E6" s="21"/>
      <c r="F6" s="24"/>
      <c r="G6" s="8" t="s">
        <v>1</v>
      </c>
      <c r="H6" s="23">
        <f ca="1">TODAY()</f>
        <v>46204</v>
      </c>
      <c r="I6" s="23"/>
      <c r="J6" s="24"/>
    </row>
    <row r="7" spans="1:10" x14ac:dyDescent="0.3">
      <c r="A7" s="20" t="s">
        <v>2</v>
      </c>
      <c r="B7" s="20"/>
      <c r="C7" s="20"/>
      <c r="D7" s="22" t="s">
        <v>42</v>
      </c>
      <c r="E7" s="22"/>
      <c r="F7" s="25"/>
      <c r="G7" s="9" t="s">
        <v>3</v>
      </c>
      <c r="H7" s="16" t="s">
        <v>40</v>
      </c>
      <c r="I7" s="16"/>
      <c r="J7" s="25"/>
    </row>
    <row r="8" spans="1:10" x14ac:dyDescent="0.3">
      <c r="A8" s="20" t="s">
        <v>4</v>
      </c>
      <c r="B8" s="20"/>
      <c r="C8" s="20"/>
      <c r="D8" s="22" t="s">
        <v>5</v>
      </c>
      <c r="E8" s="22"/>
      <c r="F8" s="25"/>
      <c r="G8" s="9" t="s">
        <v>6</v>
      </c>
      <c r="H8" s="16" t="s">
        <v>41</v>
      </c>
      <c r="I8" s="16"/>
      <c r="J8" s="25"/>
    </row>
    <row r="9" spans="1:10" x14ac:dyDescent="0.3">
      <c r="A9" s="14"/>
      <c r="B9" s="14"/>
      <c r="C9" s="14"/>
      <c r="D9" s="14"/>
      <c r="E9" s="14"/>
      <c r="F9" s="14"/>
      <c r="G9" s="14"/>
      <c r="H9" s="14"/>
      <c r="I9" s="14"/>
      <c r="J9" s="14"/>
    </row>
    <row r="10" spans="1:10" ht="31.5" customHeight="1" x14ac:dyDescent="0.3">
      <c r="A10" s="26" t="s">
        <v>7</v>
      </c>
      <c r="B10" s="26"/>
      <c r="C10" s="26" t="s">
        <v>8</v>
      </c>
      <c r="D10" s="26"/>
      <c r="E10" s="12" t="s">
        <v>9</v>
      </c>
      <c r="F10" s="12" t="s">
        <v>10</v>
      </c>
      <c r="G10" s="12" t="s">
        <v>11</v>
      </c>
      <c r="H10" s="26" t="s">
        <v>12</v>
      </c>
      <c r="I10" s="26"/>
      <c r="J10" s="26"/>
    </row>
    <row r="11" spans="1:10" x14ac:dyDescent="0.3">
      <c r="A11" s="28" t="s">
        <v>13</v>
      </c>
      <c r="B11" s="28"/>
      <c r="C11" s="22" t="s">
        <v>14</v>
      </c>
      <c r="D11" s="22"/>
      <c r="E11" s="4">
        <v>0.05</v>
      </c>
      <c r="F11" s="5">
        <v>1</v>
      </c>
      <c r="G11" s="3">
        <f t="shared" ref="G11:G22" si="0">E11*F11</f>
        <v>0.05</v>
      </c>
      <c r="H11" s="22" t="s">
        <v>15</v>
      </c>
      <c r="I11" s="22"/>
      <c r="J11" s="22"/>
    </row>
    <row r="12" spans="1:10" x14ac:dyDescent="0.3">
      <c r="A12" s="29" t="s">
        <v>16</v>
      </c>
      <c r="B12" s="29"/>
      <c r="C12" s="27" t="s">
        <v>17</v>
      </c>
      <c r="D12" s="27"/>
      <c r="E12" s="4">
        <v>0.05</v>
      </c>
      <c r="F12" s="5">
        <v>1</v>
      </c>
      <c r="G12" s="3">
        <f t="shared" si="0"/>
        <v>0.05</v>
      </c>
      <c r="H12" s="27" t="s">
        <v>15</v>
      </c>
      <c r="I12" s="27"/>
      <c r="J12" s="27"/>
    </row>
    <row r="13" spans="1:10" x14ac:dyDescent="0.3">
      <c r="A13" s="28" t="s">
        <v>18</v>
      </c>
      <c r="B13" s="28"/>
      <c r="C13" s="22" t="s">
        <v>19</v>
      </c>
      <c r="D13" s="22"/>
      <c r="E13" s="4">
        <v>0.05</v>
      </c>
      <c r="F13" s="5">
        <v>1</v>
      </c>
      <c r="G13" s="3">
        <f t="shared" si="0"/>
        <v>0.05</v>
      </c>
      <c r="H13" s="22" t="s">
        <v>15</v>
      </c>
      <c r="I13" s="22"/>
      <c r="J13" s="22"/>
    </row>
    <row r="14" spans="1:10" x14ac:dyDescent="0.3">
      <c r="A14" s="29" t="s">
        <v>20</v>
      </c>
      <c r="B14" s="29"/>
      <c r="C14" s="27" t="s">
        <v>21</v>
      </c>
      <c r="D14" s="27"/>
      <c r="E14" s="4">
        <v>0.15</v>
      </c>
      <c r="F14" s="5">
        <v>1</v>
      </c>
      <c r="G14" s="3">
        <f t="shared" si="0"/>
        <v>0.15</v>
      </c>
      <c r="H14" s="22" t="s">
        <v>15</v>
      </c>
      <c r="I14" s="22"/>
      <c r="J14" s="22"/>
    </row>
    <row r="15" spans="1:10" x14ac:dyDescent="0.3">
      <c r="A15" s="28" t="s">
        <v>22</v>
      </c>
      <c r="B15" s="28"/>
      <c r="C15" s="22" t="s">
        <v>23</v>
      </c>
      <c r="D15" s="22"/>
      <c r="E15" s="4">
        <v>0.1</v>
      </c>
      <c r="F15" s="5">
        <v>1</v>
      </c>
      <c r="G15" s="3">
        <f t="shared" si="0"/>
        <v>0.1</v>
      </c>
      <c r="H15" s="22" t="s">
        <v>15</v>
      </c>
      <c r="I15" s="22"/>
      <c r="J15" s="22"/>
    </row>
    <row r="16" spans="1:10" x14ac:dyDescent="0.3">
      <c r="A16" s="29" t="s">
        <v>24</v>
      </c>
      <c r="B16" s="29"/>
      <c r="C16" s="27" t="s">
        <v>25</v>
      </c>
      <c r="D16" s="27"/>
      <c r="E16" s="4">
        <v>0.1</v>
      </c>
      <c r="F16" s="5">
        <v>1</v>
      </c>
      <c r="G16" s="3">
        <f t="shared" si="0"/>
        <v>0.1</v>
      </c>
      <c r="H16" s="22" t="s">
        <v>15</v>
      </c>
      <c r="I16" s="22"/>
      <c r="J16" s="22"/>
    </row>
    <row r="17" spans="1:10" x14ac:dyDescent="0.3">
      <c r="A17" s="28" t="s">
        <v>26</v>
      </c>
      <c r="B17" s="28"/>
      <c r="C17" s="22" t="s">
        <v>27</v>
      </c>
      <c r="D17" s="22"/>
      <c r="E17" s="4">
        <v>0.05</v>
      </c>
      <c r="F17" s="5">
        <v>1</v>
      </c>
      <c r="G17" s="3">
        <f t="shared" si="0"/>
        <v>0.05</v>
      </c>
      <c r="H17" s="22" t="s">
        <v>15</v>
      </c>
      <c r="I17" s="22"/>
      <c r="J17" s="22"/>
    </row>
    <row r="18" spans="1:10" x14ac:dyDescent="0.3">
      <c r="A18" s="29" t="s">
        <v>28</v>
      </c>
      <c r="B18" s="29"/>
      <c r="C18" s="27" t="s">
        <v>29</v>
      </c>
      <c r="D18" s="27"/>
      <c r="E18" s="4">
        <v>0.05</v>
      </c>
      <c r="F18" s="5">
        <v>1</v>
      </c>
      <c r="G18" s="3">
        <f t="shared" si="0"/>
        <v>0.05</v>
      </c>
      <c r="H18" s="22" t="s">
        <v>15</v>
      </c>
      <c r="I18" s="22"/>
      <c r="J18" s="22"/>
    </row>
    <row r="19" spans="1:10" x14ac:dyDescent="0.3">
      <c r="A19" s="28" t="s">
        <v>30</v>
      </c>
      <c r="B19" s="28"/>
      <c r="C19" s="22" t="s">
        <v>31</v>
      </c>
      <c r="D19" s="22"/>
      <c r="E19" s="4">
        <v>0.05</v>
      </c>
      <c r="F19" s="5">
        <v>1</v>
      </c>
      <c r="G19" s="3">
        <f t="shared" si="0"/>
        <v>0.05</v>
      </c>
      <c r="H19" s="22" t="s">
        <v>15</v>
      </c>
      <c r="I19" s="22"/>
      <c r="J19" s="22"/>
    </row>
    <row r="20" spans="1:10" x14ac:dyDescent="0.3">
      <c r="A20" s="29" t="s">
        <v>32</v>
      </c>
      <c r="B20" s="29"/>
      <c r="C20" s="27" t="s">
        <v>33</v>
      </c>
      <c r="D20" s="27"/>
      <c r="E20" s="4">
        <v>0.1</v>
      </c>
      <c r="F20" s="5">
        <v>1</v>
      </c>
      <c r="G20" s="3">
        <f t="shared" si="0"/>
        <v>0.1</v>
      </c>
      <c r="H20" s="22" t="s">
        <v>15</v>
      </c>
      <c r="I20" s="22"/>
      <c r="J20" s="22"/>
    </row>
    <row r="21" spans="1:10" x14ac:dyDescent="0.3">
      <c r="A21" s="28" t="s">
        <v>34</v>
      </c>
      <c r="B21" s="28"/>
      <c r="C21" s="22" t="s">
        <v>35</v>
      </c>
      <c r="D21" s="22"/>
      <c r="E21" s="4">
        <v>0.05</v>
      </c>
      <c r="F21" s="5">
        <v>1</v>
      </c>
      <c r="G21" s="3">
        <f t="shared" si="0"/>
        <v>0.05</v>
      </c>
      <c r="H21" s="22" t="s">
        <v>15</v>
      </c>
      <c r="I21" s="22"/>
      <c r="J21" s="22"/>
    </row>
    <row r="22" spans="1:10" x14ac:dyDescent="0.3">
      <c r="A22" s="29" t="s">
        <v>36</v>
      </c>
      <c r="B22" s="29"/>
      <c r="C22" s="27" t="s">
        <v>37</v>
      </c>
      <c r="D22" s="27"/>
      <c r="E22" s="4">
        <v>0.2</v>
      </c>
      <c r="F22" s="5">
        <v>1</v>
      </c>
      <c r="G22" s="3">
        <f t="shared" si="0"/>
        <v>0.2</v>
      </c>
      <c r="H22" s="22" t="s">
        <v>15</v>
      </c>
      <c r="I22" s="22"/>
      <c r="J22" s="22"/>
    </row>
    <row r="23" spans="1:10" x14ac:dyDescent="0.3">
      <c r="A23" s="30" t="s">
        <v>38</v>
      </c>
      <c r="B23" s="30"/>
      <c r="C23" s="30"/>
      <c r="D23" s="30"/>
      <c r="E23" s="2">
        <f>SUM(E11:E22)</f>
        <v>1.0000000000000002</v>
      </c>
      <c r="F23" s="6">
        <f>SUM(F11:F22)</f>
        <v>12</v>
      </c>
      <c r="G23" s="2">
        <f>SUM(G11:G22)</f>
        <v>1.0000000000000002</v>
      </c>
      <c r="H23" s="25"/>
      <c r="I23" s="25"/>
      <c r="J23" s="25"/>
    </row>
    <row r="24" spans="1:10" x14ac:dyDescent="0.3">
      <c r="A24" s="7"/>
      <c r="B24" s="7"/>
      <c r="C24" s="7"/>
      <c r="D24" s="7"/>
      <c r="E24" s="7"/>
      <c r="G24" s="7"/>
      <c r="H24" s="7"/>
      <c r="I24" s="7"/>
      <c r="J24" s="7"/>
    </row>
    <row r="25" spans="1:10" x14ac:dyDescent="0.3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x14ac:dyDescent="0.3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 x14ac:dyDescent="0.3">
      <c r="A27" s="7"/>
      <c r="B27" s="7"/>
      <c r="C27" s="7"/>
      <c r="D27" s="7"/>
      <c r="E27" s="7"/>
      <c r="F27" s="7"/>
      <c r="G27" s="7"/>
      <c r="H27" s="7"/>
      <c r="I27" s="7"/>
      <c r="J27" s="7"/>
    </row>
  </sheetData>
  <mergeCells count="56">
    <mergeCell ref="H15:J15"/>
    <mergeCell ref="A23:D23"/>
    <mergeCell ref="H18:J18"/>
    <mergeCell ref="H19:J19"/>
    <mergeCell ref="H20:J20"/>
    <mergeCell ref="H21:J21"/>
    <mergeCell ref="H22:J22"/>
    <mergeCell ref="H23:J23"/>
    <mergeCell ref="C20:D20"/>
    <mergeCell ref="C21:D21"/>
    <mergeCell ref="C22:D22"/>
    <mergeCell ref="A21:B21"/>
    <mergeCell ref="A22:B22"/>
    <mergeCell ref="A16:B16"/>
    <mergeCell ref="A17:B17"/>
    <mergeCell ref="A18:B18"/>
    <mergeCell ref="A19:B19"/>
    <mergeCell ref="A20:B20"/>
    <mergeCell ref="A10:B10"/>
    <mergeCell ref="C10:D10"/>
    <mergeCell ref="A11:B11"/>
    <mergeCell ref="A12:B12"/>
    <mergeCell ref="A13:B13"/>
    <mergeCell ref="A14:B14"/>
    <mergeCell ref="A15:B15"/>
    <mergeCell ref="H10:J10"/>
    <mergeCell ref="C18:D18"/>
    <mergeCell ref="C19:D19"/>
    <mergeCell ref="C11:D11"/>
    <mergeCell ref="C12:D12"/>
    <mergeCell ref="H16:J16"/>
    <mergeCell ref="H17:J17"/>
    <mergeCell ref="C14:D14"/>
    <mergeCell ref="C15:D15"/>
    <mergeCell ref="C16:D16"/>
    <mergeCell ref="C17:D17"/>
    <mergeCell ref="H11:J11"/>
    <mergeCell ref="H12:J12"/>
    <mergeCell ref="H13:J13"/>
    <mergeCell ref="C13:D13"/>
    <mergeCell ref="H14:J14"/>
    <mergeCell ref="A9:J9"/>
    <mergeCell ref="A2:B3"/>
    <mergeCell ref="H8:I8"/>
    <mergeCell ref="D2:F2"/>
    <mergeCell ref="A5:J5"/>
    <mergeCell ref="A6:C6"/>
    <mergeCell ref="A7:C7"/>
    <mergeCell ref="A8:C8"/>
    <mergeCell ref="D6:E6"/>
    <mergeCell ref="D7:E7"/>
    <mergeCell ref="D8:E8"/>
    <mergeCell ref="H6:I6"/>
    <mergeCell ref="H7:I7"/>
    <mergeCell ref="F6:F8"/>
    <mergeCell ref="J6:J8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Evaluación de Calidad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Mazo</cp:lastModifiedBy>
  <dcterms:created xsi:type="dcterms:W3CDTF">2026-06-18T16:41:59Z</dcterms:created>
  <dcterms:modified xsi:type="dcterms:W3CDTF">2026-07-02T04:34:03Z</dcterms:modified>
</cp:coreProperties>
</file>